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ael\Desktop\"/>
    </mc:Choice>
  </mc:AlternateContent>
  <xr:revisionPtr revIDLastSave="0" documentId="13_ncr:1_{EB91C1F8-A1B0-4912-A64A-990334B561A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NUM SEMANA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1" l="1"/>
  <c r="G28" i="1"/>
  <c r="G26" i="1"/>
  <c r="G25" i="1"/>
  <c r="G24" i="1"/>
  <c r="G23" i="1"/>
  <c r="G22" i="1"/>
  <c r="G21" i="1"/>
  <c r="G20" i="1"/>
  <c r="G19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L8" i="1" l="1"/>
  <c r="K8" i="1"/>
  <c r="J8" i="1"/>
  <c r="I8" i="1"/>
  <c r="M8" i="1" l="1"/>
</calcChain>
</file>

<file path=xl/sharedStrings.xml><?xml version="1.0" encoding="utf-8"?>
<sst xmlns="http://schemas.openxmlformats.org/spreadsheetml/2006/main" count="20" uniqueCount="15">
  <si>
    <t>Total</t>
  </si>
  <si>
    <t>12:00</t>
  </si>
  <si>
    <t>03:00</t>
  </si>
  <si>
    <t>06:00</t>
  </si>
  <si>
    <t>09:00</t>
  </si>
  <si>
    <t>Baja de Scrap en Sets</t>
  </si>
  <si>
    <t>Semana</t>
  </si>
  <si>
    <t>LOTE</t>
  </si>
  <si>
    <t>Total Global</t>
  </si>
  <si>
    <t>9</t>
  </si>
  <si>
    <t>4549</t>
  </si>
  <si>
    <t>192</t>
  </si>
  <si>
    <t>190</t>
  </si>
  <si>
    <t>201</t>
  </si>
  <si>
    <t>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</si>
</sst>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65B1F"/>
        <bgColor indexed="64"/>
      </patternFill>
    </fill>
    <fill>
      <patternFill patternType="solid">
        <fgColor rgb="FFE86A33"/>
        <bgColor indexed="64"/>
      </patternFill>
    </fill>
    <fill>
      <patternFill patternType="solid">
        <fgColor rgb="FFEA7846"/>
        <bgColor indexed="64"/>
      </patternFill>
    </fill>
    <fill>
      <patternFill patternType="solid">
        <fgColor rgb="FFEC8457"/>
        <bgColor indexed="64"/>
      </patternFill>
    </fill>
    <fill>
      <patternFill patternType="solid">
        <fgColor rgb="FF1F363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6DCE4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20" fontId="5" fillId="2" borderId="2" xfId="0" applyNumberFormat="1" applyFont="1" applyFill="1" applyBorder="1"/>
    <xf numFmtId="0" fontId="5" fillId="3" borderId="3" xfId="0" applyFont="1" applyFill="1" applyBorder="1"/>
    <xf numFmtId="20" fontId="5" fillId="4" borderId="3" xfId="0" applyNumberFormat="1" applyFont="1" applyFill="1" applyBorder="1"/>
    <xf numFmtId="20" fontId="0" fillId="5" borderId="3" xfId="0" applyNumberFormat="1" applyFill="1" applyBorder="1"/>
    <xf numFmtId="20" fontId="0" fillId="6" borderId="3" xfId="0" applyNumberFormat="1" applyFill="1" applyBorder="1"/>
    <xf numFmtId="20" fontId="0" fillId="7" borderId="3" xfId="0" applyNumberFormat="1" applyFill="1" applyBorder="1"/>
    <xf numFmtId="0" fontId="4" fillId="8" borderId="4" xfId="0" applyFont="1" applyFill="1" applyBorder="1"/>
    <xf numFmtId="0" fontId="3" fillId="8" borderId="6" xfId="0" applyFont="1" applyFill="1" applyBorder="1"/>
    <xf numFmtId="20" fontId="0" fillId="0" borderId="2" xfId="0" applyNumberFormat="1" applyBorder="1" applyAlignment="1">
      <alignment horizontal="center" vertical="center" wrapText="1"/>
    </xf>
    <xf numFmtId="20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2" borderId="5" xfId="0" applyFont="1" applyFill="1" applyBorder="1" applyProtection="1"/>
    <xf numFmtId="0" fontId="5" fillId="3" borderId="1" xfId="0" applyFont="1" applyFill="1" applyBorder="1" applyAlignment="1" applyProtection="1">
      <alignment horizontal="center"/>
    </xf>
    <xf numFmtId="0" fontId="5" fillId="9" borderId="1" xfId="0" applyFont="1" applyFill="1" applyBorder="1" applyProtection="1"/>
    <xf numFmtId="0" fontId="0" fillId="9" borderId="1" xfId="0" applyFill="1" applyBorder="1" applyProtection="1"/>
    <xf numFmtId="0" fontId="0" fillId="9" borderId="6" xfId="0" applyFill="1" applyBorder="1" applyProtection="1"/>
    <xf numFmtId="0" fontId="8" fillId="10" borderId="3" xfId="0" applyFont="1" applyFill="1" applyBorder="1" applyAlignment="1" applyProtection="1">
      <alignment horizontal="center"/>
    </xf>
    <xf numFmtId="0" fontId="3" fillId="8" borderId="9" xfId="0" applyFont="1" applyFill="1" applyBorder="1"/>
    <xf numFmtId="0" fontId="5" fillId="2" borderId="5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  <xf numFmtId="0" fontId="5" fillId="2" borderId="10" xfId="0" applyFont="1" applyFill="1" applyBorder="1" applyAlignment="1">
      <alignment horizontal="center"/>
    </xf>
    <xf numFmtId="0" fontId="8" fillId="10" borderId="3" xfId="0" applyFont="1" applyFill="1" applyBorder="1" applyAlignment="1">
      <alignment horizontal="center"/>
    </xf>
    <xf numFmtId="0" fontId="5" fillId="9" borderId="1" xfId="0" applyFont="1" applyFill="1" applyBorder="1"/>
    <xf numFmtId="0" fontId="0" fillId="9" borderId="1" xfId="0" applyFill="1" applyBorder="1"/>
    <xf numFmtId="0" fontId="0" fillId="9" borderId="6" xfId="0" applyFill="1" applyBorder="1"/>
  </cellXfs>
  <cellStyles count="1">
    <cellStyle name="Normal" xfId="0" builtinId="0"/>
  </cellStyles>
  <dxfs count="55">
    <dxf>
      <fill>
        <patternFill>
          <bgColor rgb="FFF8E052"/>
        </patternFill>
      </fill>
    </dxf>
    <dxf>
      <fill>
        <patternFill>
          <bgColor rgb="FFFF0000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F363D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D6DCE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EEEEEE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D6DCE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EEEEE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F0000"/>
        </patternFill>
      </fill>
    </dxf>
    <dxf>
      <fill>
        <patternFill>
          <bgColor rgb="FFFA9C12"/>
        </patternFill>
      </fill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rgb="FF1F363D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25" formatCode="hh:mm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39E767"/>
        </patternFill>
      </fill>
    </dxf>
    <dxf>
      <fill>
        <patternFill>
          <bgColor rgb="FFFF8C32"/>
        </patternFill>
      </fill>
    </dxf>
  </dxfs>
  <tableStyles count="1" defaultTableStyle="TableStyleMedium2" defaultPivotStyle="PivotStyleLight16">
    <tableStyle name="Estilo de tabla 1" pivot="0" count="2" xr9:uid="{00000000-0011-0000-FFFF-FFFF00000000}">
      <tableStyleElement type="wholeTable" dxfId="54"/>
      <tableStyleElement type="firstColumnStripe" dxfId="53"/>
    </tableStyle>
  </tableStyles>
  <colors>
    <mruColors>
      <color rgb="FFFF0000"/>
      <color rgb="FFFA9C12"/>
      <color rgb="FFF8E052"/>
      <color rgb="FF1F363D"/>
      <color rgb="FFEC8457"/>
      <color rgb="FFEA7846"/>
      <color rgb="FFE86A33"/>
      <color rgb="FFE65B1F"/>
      <color rgb="FF39E767"/>
      <color rgb="FFFF8C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0</xdr:row>
          <xdr:rowOff>180975</xdr:rowOff>
        </xdr:from>
        <xdr:to>
          <xdr:col>9</xdr:col>
          <xdr:colOff>752475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crap" displayName="scrap" ref="A3:G25" totalsRowCount="1" headerRowDxfId="52" headerRowBorderDxfId="51" tableBorderDxfId="50" totalsRowBorderDxfId="49">
  <autoFilter ref="A3:G24" xr:uid="{00000000-0009-0000-0100-000002000000}"/>
  <tableColumns count="7">
    <tableColumn id="13" xr3:uid="{00000000-0010-0000-0000-00000D000000}" name="Semana" totalsRowLabel="9" dataDxfId="17" totalsRowDxfId="11"/>
    <tableColumn id="1" xr3:uid="{00000000-0010-0000-0000-000001000000}" name="LOTE" totalsRowLabel="4549" dataDxfId="16" totalsRowDxfId="10"/>
    <tableColumn id="2" xr3:uid="{00000000-0010-0000-0000-000002000000}" name="12:00" totalsRowLabel="192" dataDxfId="15" totalsRowDxfId="9"/>
    <tableColumn id="3" xr3:uid="{00000000-0010-0000-0000-000003000000}" name="03:00" totalsRowLabel="190" dataDxfId="14" totalsRowDxfId="8"/>
    <tableColumn id="4" xr3:uid="{00000000-0010-0000-0000-000004000000}" name="06:00" totalsRowLabel="201" dataDxfId="13" totalsRowDxfId="7"/>
    <tableColumn id="5" xr3:uid="{00000000-0010-0000-0000-000005000000}" name="09:00" totalsRowLabel="101" dataDxfId="12" totalsRowDxfId="6"/>
    <tableColumn id="6" xr3:uid="{00000000-0010-0000-0000-000006000000}" name="Total" totalsRowFunction="custom" dataDxfId="48" totalsRowDxfId="5">
      <calculatedColumnFormula>C4+D4+E4+F4</calculatedColumnFormula>
      <totalsRowFormula>C25+D25+E25+F25</totalsRowFormula>
    </tableColumn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I7:M8" totalsRowShown="0" headerRowDxfId="47" dataDxfId="45" headerRowBorderDxfId="46" tableBorderDxfId="44" totalsRowBorderDxfId="43">
  <autoFilter ref="I7:M8" xr:uid="{00000000-0009-0000-0100-000001000000}"/>
  <tableColumns count="5">
    <tableColumn id="1" xr3:uid="{00000000-0010-0000-0100-000001000000}" name="12:00" dataDxfId="42">
      <calculatedColumnFormula>SUM(scrap[12:00])</calculatedColumnFormula>
    </tableColumn>
    <tableColumn id="2" xr3:uid="{00000000-0010-0000-0100-000002000000}" name="03:00" dataDxfId="41">
      <calculatedColumnFormula>SUM(scrap[03:00])</calculatedColumnFormula>
    </tableColumn>
    <tableColumn id="3" xr3:uid="{00000000-0010-0000-0100-000003000000}" name="06:00" dataDxfId="40">
      <calculatedColumnFormula>SUM(scrap[06:00])</calculatedColumnFormula>
    </tableColumn>
    <tableColumn id="4" xr3:uid="{00000000-0010-0000-0100-000004000000}" name="09:00" dataDxfId="39">
      <calculatedColumnFormula>SUM(scrap[09:00])</calculatedColumnFormula>
    </tableColumn>
    <tableColumn id="5" xr3:uid="{00000000-0010-0000-0100-000005000000}" name="Total" dataDxfId="38">
      <calculatedColumnFormula>SUM(scrap[Total])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8"/>
  <sheetViews>
    <sheetView tabSelected="1" topLeftCell="A9" zoomScale="95" workbookViewId="0">
      <selection activeCell="I31" sqref="I31"/>
    </sheetView>
  </sheetViews>
  <sheetFormatPr baseColWidth="10" defaultRowHeight="15" x14ac:dyDescent="0.25"/>
  <cols>
    <col min="1" max="1" width="11.42578125" customWidth="1"/>
    <col min="2" max="2" width="10.5703125" customWidth="1"/>
  </cols>
  <sheetData>
    <row r="1" spans="1:13" x14ac:dyDescent="0.25">
      <c r="A1" s="15" t="s">
        <v>5</v>
      </c>
      <c r="B1" s="15"/>
      <c r="C1" s="15"/>
      <c r="D1" s="15"/>
      <c r="E1" s="15"/>
      <c r="F1" s="15"/>
      <c r="G1" s="15"/>
    </row>
    <row r="2" spans="1:13" x14ac:dyDescent="0.25">
      <c r="A2" s="15"/>
      <c r="B2" s="15"/>
      <c r="C2" s="15"/>
      <c r="D2" s="15"/>
      <c r="E2" s="15"/>
      <c r="F2" s="15"/>
      <c r="G2" s="15"/>
    </row>
    <row r="3" spans="1:13" x14ac:dyDescent="0.25">
      <c r="A3" s="1" t="s">
        <v>6</v>
      </c>
      <c r="B3" s="2" t="s">
        <v>7</v>
      </c>
      <c r="C3" s="3" t="s">
        <v>1</v>
      </c>
      <c r="D3" s="4" t="s">
        <v>2</v>
      </c>
      <c r="E3" s="5" t="s">
        <v>3</v>
      </c>
      <c r="F3" s="6" t="s">
        <v>4</v>
      </c>
      <c r="G3" s="7" t="s">
        <v>0</v>
      </c>
    </row>
    <row r="4" spans="1:13" x14ac:dyDescent="0.25">
      <c r="A4" s="17">
        <v>8</v>
      </c>
      <c r="B4" s="18">
        <v>4524</v>
      </c>
      <c r="C4" s="19">
        <v>227</v>
      </c>
      <c r="D4" s="20">
        <v>116</v>
      </c>
      <c r="E4" s="20">
        <v>308</v>
      </c>
      <c r="F4" s="21">
        <v>213</v>
      </c>
      <c r="G4" s="8">
        <f t="shared" ref="G4:G28" si="0">C4+D4+E4+F4</f>
        <v>864</v>
      </c>
    </row>
    <row r="5" spans="1:13" x14ac:dyDescent="0.25">
      <c r="A5" s="17">
        <v>8</v>
      </c>
      <c r="B5" s="22">
        <v>4525</v>
      </c>
      <c r="C5" s="19">
        <v>46</v>
      </c>
      <c r="D5" s="20">
        <v>95</v>
      </c>
      <c r="E5" s="20">
        <v>80</v>
      </c>
      <c r="F5" s="20">
        <v>114</v>
      </c>
      <c r="G5" s="8">
        <f t="shared" si="0"/>
        <v>335</v>
      </c>
      <c r="I5" s="15" t="s">
        <v>8</v>
      </c>
      <c r="J5" s="16"/>
      <c r="K5" s="16"/>
      <c r="L5" s="16"/>
      <c r="M5" s="16"/>
    </row>
    <row r="6" spans="1:13" x14ac:dyDescent="0.25">
      <c r="A6" s="17">
        <v>8</v>
      </c>
      <c r="B6" s="22">
        <v>4526</v>
      </c>
      <c r="C6" s="19">
        <v>237</v>
      </c>
      <c r="D6" s="20">
        <v>280</v>
      </c>
      <c r="E6" s="20">
        <v>256</v>
      </c>
      <c r="F6" s="21">
        <v>244</v>
      </c>
      <c r="G6" s="8">
        <f t="shared" si="0"/>
        <v>1017</v>
      </c>
      <c r="I6" s="16"/>
      <c r="J6" s="16"/>
      <c r="K6" s="16"/>
      <c r="L6" s="16"/>
      <c r="M6" s="16"/>
    </row>
    <row r="7" spans="1:13" x14ac:dyDescent="0.25">
      <c r="A7" s="17">
        <v>8</v>
      </c>
      <c r="B7" s="22">
        <v>4527</v>
      </c>
      <c r="C7" s="19">
        <v>170</v>
      </c>
      <c r="D7" s="20">
        <v>202</v>
      </c>
      <c r="E7" s="20">
        <v>183</v>
      </c>
      <c r="F7" s="21">
        <v>176</v>
      </c>
      <c r="G7" s="8">
        <f t="shared" si="0"/>
        <v>731</v>
      </c>
      <c r="I7" s="9" t="s">
        <v>1</v>
      </c>
      <c r="J7" s="10" t="s">
        <v>2</v>
      </c>
      <c r="K7" s="10" t="s">
        <v>3</v>
      </c>
      <c r="L7" s="10" t="s">
        <v>4</v>
      </c>
      <c r="M7" s="11" t="s">
        <v>0</v>
      </c>
    </row>
    <row r="8" spans="1:13" x14ac:dyDescent="0.25">
      <c r="A8" s="17">
        <v>8</v>
      </c>
      <c r="B8" s="22">
        <v>4529</v>
      </c>
      <c r="C8" s="19">
        <v>200</v>
      </c>
      <c r="D8" s="20">
        <v>305</v>
      </c>
      <c r="E8" s="20">
        <v>229</v>
      </c>
      <c r="F8" s="21">
        <v>716</v>
      </c>
      <c r="G8" s="8">
        <f t="shared" si="0"/>
        <v>1450</v>
      </c>
      <c r="I8" s="12">
        <f>SUM(scrap[12:00])</f>
        <v>4301</v>
      </c>
      <c r="J8" s="13">
        <f>SUM(scrap[03:00])</f>
        <v>4689</v>
      </c>
      <c r="K8" s="13">
        <f>SUM(scrap[06:00])</f>
        <v>4582</v>
      </c>
      <c r="L8" s="13">
        <f>SUM(scrap[09:00])</f>
        <v>5227</v>
      </c>
      <c r="M8" s="14">
        <f>SUM(scrap[Total])</f>
        <v>18799</v>
      </c>
    </row>
    <row r="9" spans="1:13" x14ac:dyDescent="0.25">
      <c r="A9" s="17">
        <v>8</v>
      </c>
      <c r="B9" s="22">
        <v>4530</v>
      </c>
      <c r="C9" s="19">
        <v>219</v>
      </c>
      <c r="D9" s="20">
        <v>364</v>
      </c>
      <c r="E9" s="20">
        <v>330</v>
      </c>
      <c r="F9" s="21">
        <v>385</v>
      </c>
      <c r="G9" s="8">
        <f t="shared" si="0"/>
        <v>1298</v>
      </c>
    </row>
    <row r="10" spans="1:13" x14ac:dyDescent="0.25">
      <c r="A10" s="17">
        <v>8</v>
      </c>
      <c r="B10" s="22">
        <v>4533</v>
      </c>
      <c r="C10" s="19">
        <v>264</v>
      </c>
      <c r="D10" s="20">
        <v>386</v>
      </c>
      <c r="E10" s="20">
        <v>362</v>
      </c>
      <c r="F10" s="21">
        <v>332</v>
      </c>
      <c r="G10" s="8">
        <f t="shared" si="0"/>
        <v>1344</v>
      </c>
    </row>
    <row r="11" spans="1:13" x14ac:dyDescent="0.25">
      <c r="A11" s="17">
        <v>8</v>
      </c>
      <c r="B11" s="18">
        <v>4528</v>
      </c>
      <c r="C11" s="19">
        <v>113</v>
      </c>
      <c r="D11" s="20">
        <v>156</v>
      </c>
      <c r="E11" s="20">
        <v>158</v>
      </c>
      <c r="F11" s="21">
        <v>150</v>
      </c>
      <c r="G11" s="8">
        <f t="shared" si="0"/>
        <v>577</v>
      </c>
    </row>
    <row r="12" spans="1:13" x14ac:dyDescent="0.25">
      <c r="A12" s="17">
        <v>8</v>
      </c>
      <c r="B12" s="18">
        <v>4535</v>
      </c>
      <c r="C12" s="19">
        <v>280</v>
      </c>
      <c r="D12" s="20">
        <v>105</v>
      </c>
      <c r="E12" s="20">
        <v>169</v>
      </c>
      <c r="F12" s="21">
        <v>113</v>
      </c>
      <c r="G12" s="8">
        <f t="shared" si="0"/>
        <v>667</v>
      </c>
    </row>
    <row r="13" spans="1:13" x14ac:dyDescent="0.25">
      <c r="A13" s="17">
        <v>8</v>
      </c>
      <c r="B13" s="18">
        <v>4536</v>
      </c>
      <c r="C13" s="19">
        <v>187</v>
      </c>
      <c r="D13" s="20">
        <v>352</v>
      </c>
      <c r="E13" s="20">
        <v>171</v>
      </c>
      <c r="F13" s="21">
        <v>386</v>
      </c>
      <c r="G13" s="8">
        <f t="shared" si="0"/>
        <v>1096</v>
      </c>
    </row>
    <row r="14" spans="1:13" x14ac:dyDescent="0.25">
      <c r="A14" s="17">
        <v>8</v>
      </c>
      <c r="B14" s="22">
        <v>4544</v>
      </c>
      <c r="C14" s="19">
        <v>462</v>
      </c>
      <c r="D14" s="20">
        <v>675</v>
      </c>
      <c r="E14" s="20">
        <v>666</v>
      </c>
      <c r="F14" s="21">
        <v>536</v>
      </c>
      <c r="G14" s="8">
        <f t="shared" si="0"/>
        <v>2339</v>
      </c>
    </row>
    <row r="15" spans="1:13" x14ac:dyDescent="0.25">
      <c r="A15" s="17">
        <v>8</v>
      </c>
      <c r="B15" s="22">
        <v>4531</v>
      </c>
      <c r="C15" s="19">
        <v>107</v>
      </c>
      <c r="D15" s="20">
        <v>98</v>
      </c>
      <c r="E15" s="20">
        <v>126</v>
      </c>
      <c r="F15" s="21">
        <v>132</v>
      </c>
      <c r="G15" s="8">
        <f t="shared" si="0"/>
        <v>463</v>
      </c>
    </row>
    <row r="16" spans="1:13" x14ac:dyDescent="0.25">
      <c r="A16" s="17">
        <v>8</v>
      </c>
      <c r="B16" s="22">
        <v>4532</v>
      </c>
      <c r="C16" s="19">
        <v>157</v>
      </c>
      <c r="D16" s="20">
        <v>150</v>
      </c>
      <c r="E16" s="20">
        <v>124</v>
      </c>
      <c r="F16" s="21">
        <v>148</v>
      </c>
      <c r="G16" s="8">
        <f t="shared" si="0"/>
        <v>579</v>
      </c>
    </row>
    <row r="17" spans="1:7" x14ac:dyDescent="0.25">
      <c r="A17" s="17">
        <v>8</v>
      </c>
      <c r="B17" s="22">
        <v>4537</v>
      </c>
      <c r="C17" s="19">
        <v>189</v>
      </c>
      <c r="D17" s="20">
        <v>145</v>
      </c>
      <c r="E17" s="20">
        <v>142</v>
      </c>
      <c r="F17" s="21">
        <v>163</v>
      </c>
      <c r="G17" s="8">
        <f t="shared" si="0"/>
        <v>639</v>
      </c>
    </row>
    <row r="18" spans="1:7" x14ac:dyDescent="0.25">
      <c r="A18" s="17">
        <v>8</v>
      </c>
      <c r="B18" s="18">
        <v>4538</v>
      </c>
      <c r="C18" s="19">
        <v>142</v>
      </c>
      <c r="D18" s="20">
        <v>125</v>
      </c>
      <c r="E18" s="20">
        <v>174</v>
      </c>
      <c r="F18" s="21">
        <v>157</v>
      </c>
      <c r="G18" s="8">
        <f t="shared" si="0"/>
        <v>598</v>
      </c>
    </row>
    <row r="19" spans="1:7" x14ac:dyDescent="0.25">
      <c r="A19" s="17">
        <v>8</v>
      </c>
      <c r="B19" s="18">
        <v>4539</v>
      </c>
      <c r="C19" s="19">
        <v>151</v>
      </c>
      <c r="D19" s="20">
        <v>138</v>
      </c>
      <c r="E19" s="20">
        <v>131</v>
      </c>
      <c r="F19" s="21">
        <v>153</v>
      </c>
      <c r="G19" s="8">
        <f t="shared" si="0"/>
        <v>573</v>
      </c>
    </row>
    <row r="20" spans="1:7" x14ac:dyDescent="0.25">
      <c r="A20" s="24">
        <v>9</v>
      </c>
      <c r="B20" s="18">
        <v>4534</v>
      </c>
      <c r="C20" s="19">
        <v>323</v>
      </c>
      <c r="D20" s="20">
        <v>285</v>
      </c>
      <c r="E20" s="20">
        <v>178</v>
      </c>
      <c r="F20" s="21">
        <v>243</v>
      </c>
      <c r="G20" s="8">
        <f t="shared" si="0"/>
        <v>1029</v>
      </c>
    </row>
    <row r="21" spans="1:7" x14ac:dyDescent="0.25">
      <c r="A21" s="24">
        <v>9</v>
      </c>
      <c r="B21" s="22">
        <v>4540</v>
      </c>
      <c r="C21" s="19">
        <v>228</v>
      </c>
      <c r="D21" s="20">
        <v>192</v>
      </c>
      <c r="E21" s="20">
        <v>115</v>
      </c>
      <c r="F21" s="20">
        <v>206</v>
      </c>
      <c r="G21" s="8">
        <f t="shared" si="0"/>
        <v>741</v>
      </c>
    </row>
    <row r="22" spans="1:7" x14ac:dyDescent="0.25">
      <c r="A22" s="24">
        <v>9</v>
      </c>
      <c r="B22" s="22">
        <v>4547</v>
      </c>
      <c r="C22" s="19">
        <v>232</v>
      </c>
      <c r="D22" s="20">
        <v>130</v>
      </c>
      <c r="E22" s="20">
        <v>234</v>
      </c>
      <c r="F22" s="21">
        <v>248</v>
      </c>
      <c r="G22" s="8">
        <f t="shared" si="0"/>
        <v>844</v>
      </c>
    </row>
    <row r="23" spans="1:7" x14ac:dyDescent="0.25">
      <c r="A23" s="24">
        <v>9</v>
      </c>
      <c r="B23" s="22">
        <v>4541</v>
      </c>
      <c r="C23" s="19">
        <v>170</v>
      </c>
      <c r="D23" s="20">
        <v>184</v>
      </c>
      <c r="E23" s="20">
        <v>237</v>
      </c>
      <c r="F23" s="21">
        <v>175</v>
      </c>
      <c r="G23" s="8">
        <f t="shared" si="0"/>
        <v>766</v>
      </c>
    </row>
    <row r="24" spans="1:7" x14ac:dyDescent="0.25">
      <c r="A24" s="24">
        <v>9</v>
      </c>
      <c r="B24" s="22">
        <v>4548</v>
      </c>
      <c r="C24" s="19">
        <v>197</v>
      </c>
      <c r="D24" s="20">
        <v>206</v>
      </c>
      <c r="E24" s="20">
        <v>209</v>
      </c>
      <c r="F24" s="21">
        <v>237</v>
      </c>
      <c r="G24" s="8">
        <f t="shared" si="0"/>
        <v>849</v>
      </c>
    </row>
    <row r="25" spans="1:7" x14ac:dyDescent="0.25">
      <c r="A25" s="24" t="s">
        <v>9</v>
      </c>
      <c r="B25" s="22" t="s">
        <v>10</v>
      </c>
      <c r="C25" s="19" t="s">
        <v>11</v>
      </c>
      <c r="D25" s="20" t="s">
        <v>12</v>
      </c>
      <c r="E25" s="20" t="s">
        <v>13</v>
      </c>
      <c r="F25" s="21" t="s">
        <v>14</v>
      </c>
      <c r="G25" s="23">
        <f t="shared" si="0"/>
        <v>684</v>
      </c>
    </row>
    <row r="26" spans="1:7" x14ac:dyDescent="0.25">
      <c r="A26" s="25">
        <v>9</v>
      </c>
      <c r="B26" s="22">
        <v>4550</v>
      </c>
      <c r="C26" s="19">
        <v>167</v>
      </c>
      <c r="D26" s="20">
        <v>139</v>
      </c>
      <c r="E26" s="20">
        <v>105</v>
      </c>
      <c r="F26" s="21">
        <v>245</v>
      </c>
      <c r="G26" s="8">
        <f t="shared" si="0"/>
        <v>656</v>
      </c>
    </row>
    <row r="27" spans="1:7" x14ac:dyDescent="0.25">
      <c r="A27" s="26">
        <v>9</v>
      </c>
      <c r="B27" s="27">
        <v>4551</v>
      </c>
      <c r="C27" s="28">
        <v>106</v>
      </c>
      <c r="D27" s="29">
        <v>152</v>
      </c>
      <c r="E27" s="29">
        <v>107</v>
      </c>
      <c r="F27" s="30">
        <v>240</v>
      </c>
      <c r="G27" s="8">
        <f t="shared" si="0"/>
        <v>605</v>
      </c>
    </row>
    <row r="28" spans="1:7" x14ac:dyDescent="0.25">
      <c r="A28" s="26">
        <v>9</v>
      </c>
      <c r="B28" s="27">
        <v>4542</v>
      </c>
      <c r="C28" s="28">
        <v>251</v>
      </c>
      <c r="D28" s="29">
        <v>168</v>
      </c>
      <c r="E28" s="29">
        <v>253</v>
      </c>
      <c r="F28" s="30">
        <v>275</v>
      </c>
      <c r="G28" s="8">
        <f t="shared" si="0"/>
        <v>947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4:F26 A29:F190" name="datos"/>
    <protectedRange sqref="A27:F28" name="datos_1"/>
  </protectedRanges>
  <mergeCells count="2">
    <mergeCell ref="A1:G2"/>
    <mergeCell ref="I5:M6"/>
  </mergeCells>
  <phoneticPr fontId="1" type="noConversion"/>
  <conditionalFormatting sqref="G4:G28">
    <cfRule type="containsBlanks" dxfId="37" priority="24">
      <formula>LEN(TRIM(G4))=0</formula>
    </cfRule>
  </conditionalFormatting>
  <conditionalFormatting sqref="G4:G28">
    <cfRule type="cellIs" dxfId="36" priority="23" operator="greaterThan">
      <formula>400</formula>
    </cfRule>
  </conditionalFormatting>
  <conditionalFormatting sqref="B4:F4 A5:F18">
    <cfRule type="containsBlanks" dxfId="34" priority="21">
      <formula>LEN(TRIM(A4))=0</formula>
    </cfRule>
  </conditionalFormatting>
  <conditionalFormatting sqref="A5:B18">
    <cfRule type="duplicateValues" dxfId="33" priority="22"/>
  </conditionalFormatting>
  <conditionalFormatting sqref="A4">
    <cfRule type="containsBlanks" dxfId="32" priority="19">
      <formula>LEN(TRIM(A4))=0</formula>
    </cfRule>
  </conditionalFormatting>
  <conditionalFormatting sqref="A4">
    <cfRule type="duplicateValues" dxfId="31" priority="20"/>
  </conditionalFormatting>
  <conditionalFormatting sqref="B4">
    <cfRule type="duplicateValues" dxfId="30" priority="18"/>
  </conditionalFormatting>
  <conditionalFormatting sqref="A19:F19">
    <cfRule type="containsBlanks" dxfId="29" priority="16">
      <formula>LEN(TRIM(A19))=0</formula>
    </cfRule>
  </conditionalFormatting>
  <conditionalFormatting sqref="A19:B19">
    <cfRule type="duplicateValues" dxfId="28" priority="17"/>
  </conditionalFormatting>
  <conditionalFormatting sqref="B20:F20">
    <cfRule type="containsBlanks" dxfId="27" priority="15">
      <formula>LEN(TRIM(B20))=0</formula>
    </cfRule>
  </conditionalFormatting>
  <conditionalFormatting sqref="A20">
    <cfRule type="containsBlanks" dxfId="26" priority="13">
      <formula>LEN(TRIM(A20))=0</formula>
    </cfRule>
  </conditionalFormatting>
  <conditionalFormatting sqref="A20">
    <cfRule type="duplicateValues" dxfId="25" priority="14"/>
  </conditionalFormatting>
  <conditionalFormatting sqref="B20">
    <cfRule type="duplicateValues" dxfId="24" priority="12"/>
  </conditionalFormatting>
  <conditionalFormatting sqref="A21:A22 C21:F22">
    <cfRule type="containsBlanks" dxfId="23" priority="10">
      <formula>LEN(TRIM(A21))=0</formula>
    </cfRule>
  </conditionalFormatting>
  <conditionalFormatting sqref="A21:A22">
    <cfRule type="duplicateValues" dxfId="22" priority="11"/>
  </conditionalFormatting>
  <conditionalFormatting sqref="A23:A24 C23:F24">
    <cfRule type="containsBlanks" dxfId="21" priority="8">
      <formula>LEN(TRIM(A23))=0</formula>
    </cfRule>
  </conditionalFormatting>
  <conditionalFormatting sqref="A23:A24">
    <cfRule type="duplicateValues" dxfId="20" priority="9"/>
  </conditionalFormatting>
  <conditionalFormatting sqref="A25 C25:F25">
    <cfRule type="containsBlanks" dxfId="19" priority="6">
      <formula>LEN(TRIM(A25))=0</formula>
    </cfRule>
  </conditionalFormatting>
  <conditionalFormatting sqref="A25">
    <cfRule type="duplicateValues" dxfId="18" priority="7"/>
  </conditionalFormatting>
  <conditionalFormatting sqref="A26 C26:F26">
    <cfRule type="containsBlanks" dxfId="4" priority="4">
      <formula>LEN(TRIM(A26))=0</formula>
    </cfRule>
  </conditionalFormatting>
  <conditionalFormatting sqref="A26">
    <cfRule type="duplicateValues" dxfId="3" priority="5"/>
  </conditionalFormatting>
  <conditionalFormatting sqref="A27:A28 C27:F28">
    <cfRule type="containsBlanks" dxfId="2" priority="2">
      <formula>LEN(TRIM(A27))=0</formula>
    </cfRule>
  </conditionalFormatting>
  <conditionalFormatting sqref="A27:A28">
    <cfRule type="duplicateValues" dxfId="0" priority="3"/>
  </conditionalFormatting>
  <dataValidations count="4">
    <dataValidation type="whole" operator="greaterThan" allowBlank="1" showInputMessage="1" showErrorMessage="1" errorTitle="Datos no validos" error="El número de lote debe ser mayor a cuatro dígitos." sqref="B4:B24" xr:uid="{00000000-0002-0000-0000-000000000000}">
      <formula1>999</formula1>
    </dataValidation>
    <dataValidation type="whole" operator="lessThanOrEqual" allowBlank="1" showInputMessage="1" showErrorMessage="1" errorTitle="Semana no valida." error="El número maximo es 52." sqref="A4:A24 A27:A28" xr:uid="{00000000-0002-0000-0000-000001000000}">
      <formula1>52</formula1>
    </dataValidation>
    <dataValidation type="whole" operator="greaterThan" allowBlank="1" showInputMessage="1" showErrorMessage="1" errorTitle="Datos no validos." error="Este campo solo acepta números positivos." sqref="C4:F24" xr:uid="{00000000-0002-0000-0000-000002000000}">
      <formula1>-1</formula1>
    </dataValidation>
    <dataValidation type="whole" operator="greaterThan" allowBlank="1" showInputMessage="1" showErrorMessage="1" errorTitle="Datos no validos." error="Este campo solo acepta números mayores a cero." sqref="C27:F28" xr:uid="{F7D68EBB-54B6-4ABC-BB3A-0BC69E693FCC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">
                <anchor moveWithCells="1" sizeWithCells="1">
                  <from>
                    <xdr:col>7</xdr:col>
                    <xdr:colOff>752475</xdr:colOff>
                    <xdr:row>0</xdr:row>
                    <xdr:rowOff>180975</xdr:rowOff>
                  </from>
                  <to>
                    <xdr:col>9</xdr:col>
                    <xdr:colOff>752475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NUM SEMANA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rafael</cp:lastModifiedBy>
  <dcterms:created xsi:type="dcterms:W3CDTF">2023-01-19T19:48:11Z</dcterms:created>
  <dcterms:modified xsi:type="dcterms:W3CDTF">2023-03-09T15:56:52Z</dcterms:modified>
</cp:coreProperties>
</file>