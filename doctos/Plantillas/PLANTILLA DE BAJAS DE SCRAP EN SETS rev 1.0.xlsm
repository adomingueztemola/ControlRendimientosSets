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sola\Documents\Esteban Sistemas\"/>
    </mc:Choice>
  </mc:AlternateContent>
  <xr:revisionPtr revIDLastSave="0" documentId="13_ncr:1_{A9F49588-28F0-4C81-8315-1AAD52941B6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NUM SEMANA" sheetId="1" r:id="rId1"/>
    <sheet name="Manua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J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L8" i="1"/>
  <c r="K8" i="1"/>
  <c r="M8" i="1" l="1"/>
</calcChain>
</file>

<file path=xl/sharedStrings.xml><?xml version="1.0" encoding="utf-8"?>
<sst xmlns="http://schemas.openxmlformats.org/spreadsheetml/2006/main" count="14" uniqueCount="9">
  <si>
    <t>Total</t>
  </si>
  <si>
    <t>12:00</t>
  </si>
  <si>
    <t>03:00</t>
  </si>
  <si>
    <t>06:00</t>
  </si>
  <si>
    <t>09:00</t>
  </si>
  <si>
    <t>Baja de Scrap en Sets</t>
  </si>
  <si>
    <t>Semana</t>
  </si>
  <si>
    <t>LOTE</t>
  </si>
  <si>
    <t>Total Global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</si>
</sst>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65B1F"/>
        <bgColor indexed="64"/>
      </patternFill>
    </fill>
    <fill>
      <patternFill patternType="solid">
        <fgColor rgb="FFE86A33"/>
        <bgColor indexed="64"/>
      </patternFill>
    </fill>
    <fill>
      <patternFill patternType="solid">
        <fgColor rgb="FFEA7846"/>
        <bgColor indexed="64"/>
      </patternFill>
    </fill>
    <fill>
      <patternFill patternType="solid">
        <fgColor rgb="FFEC8457"/>
        <bgColor indexed="64"/>
      </patternFill>
    </fill>
    <fill>
      <patternFill patternType="solid">
        <fgColor rgb="FF1F363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20" fontId="5" fillId="2" borderId="2" xfId="0" applyNumberFormat="1" applyFont="1" applyFill="1" applyBorder="1"/>
    <xf numFmtId="0" fontId="5" fillId="2" borderId="5" xfId="0" applyFont="1" applyFill="1" applyBorder="1"/>
    <xf numFmtId="0" fontId="5" fillId="3" borderId="3" xfId="0" applyFont="1" applyFill="1" applyBorder="1"/>
    <xf numFmtId="0" fontId="5" fillId="3" borderId="1" xfId="0" applyFont="1" applyFill="1" applyBorder="1"/>
    <xf numFmtId="20" fontId="5" fillId="4" borderId="3" xfId="0" applyNumberFormat="1" applyFont="1" applyFill="1" applyBorder="1"/>
    <xf numFmtId="0" fontId="5" fillId="4" borderId="1" xfId="0" applyFont="1" applyFill="1" applyBorder="1"/>
    <xf numFmtId="20" fontId="0" fillId="5" borderId="3" xfId="0" applyNumberFormat="1" applyFill="1" applyBorder="1"/>
    <xf numFmtId="0" fontId="0" fillId="5" borderId="1" xfId="0" applyFill="1" applyBorder="1"/>
    <xf numFmtId="20" fontId="0" fillId="6" borderId="3" xfId="0" applyNumberFormat="1" applyFill="1" applyBorder="1"/>
    <xf numFmtId="0" fontId="0" fillId="6" borderId="1" xfId="0" applyFill="1" applyBorder="1"/>
    <xf numFmtId="20" fontId="0" fillId="7" borderId="3" xfId="0" applyNumberFormat="1" applyFill="1" applyBorder="1"/>
    <xf numFmtId="0" fontId="0" fillId="7" borderId="1" xfId="0" applyFill="1" applyBorder="1"/>
    <xf numFmtId="0" fontId="4" fillId="8" borderId="4" xfId="0" applyFont="1" applyFill="1" applyBorder="1"/>
    <xf numFmtId="0" fontId="3" fillId="8" borderId="6" xfId="0" applyFont="1" applyFill="1" applyBorder="1"/>
    <xf numFmtId="0" fontId="0" fillId="7" borderId="6" xfId="0" applyFill="1" applyBorder="1"/>
    <xf numFmtId="20" fontId="0" fillId="0" borderId="2" xfId="0" applyNumberFormat="1" applyBorder="1" applyAlignment="1">
      <alignment horizontal="center" vertical="center" wrapText="1"/>
    </xf>
    <xf numFmtId="20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7" fillId="3" borderId="1" xfId="0" applyFont="1" applyFill="1" applyBorder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5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F363D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F363D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C8457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EC8457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A784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A784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86A3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86A3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65B1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65B1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DDDDDD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DDDDDD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EEEEE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EEEEE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25" formatCode="hh:mm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8E052"/>
        </patternFill>
      </fill>
    </dxf>
    <dxf>
      <font>
        <strike val="0"/>
      </font>
      <fill>
        <patternFill>
          <bgColor rgb="FF1F363D"/>
        </patternFill>
      </fill>
    </dxf>
    <dxf>
      <font>
        <strike val="0"/>
      </font>
      <fill>
        <patternFill>
          <bgColor rgb="FFFF5F09"/>
        </patternFill>
      </fill>
    </dxf>
    <dxf>
      <fill>
        <patternFill>
          <bgColor rgb="FFFF0000"/>
        </patternFill>
      </fill>
    </dxf>
    <dxf>
      <fill>
        <patternFill>
          <bgColor rgb="FFFA9C12"/>
        </patternFill>
      </fill>
    </dxf>
    <dxf>
      <fill>
        <patternFill>
          <bgColor rgb="FF39E767"/>
        </patternFill>
      </fill>
    </dxf>
    <dxf>
      <fill>
        <patternFill>
          <bgColor rgb="FFFF8C32"/>
        </patternFill>
      </fill>
    </dxf>
  </dxfs>
  <tableStyles count="1" defaultTableStyle="TableStyleMedium2" defaultPivotStyle="PivotStyleLight16">
    <tableStyle name="Estilo de tabla 1" pivot="0" count="2" xr9:uid="{AA74B1E5-41EA-4109-BE77-7151B16202F1}">
      <tableStyleElement type="wholeTable" dxfId="34"/>
      <tableStyleElement type="firstColumnStripe" dxfId="33"/>
    </tableStyle>
  </tableStyles>
  <colors>
    <mruColors>
      <color rgb="FF1F363D"/>
      <color rgb="FFFF5F09"/>
      <color rgb="FFFF0000"/>
      <color rgb="FFFA9C12"/>
      <color rgb="FFF8E052"/>
      <color rgb="FFEC8457"/>
      <color rgb="FFEA7846"/>
      <color rgb="FFE86A33"/>
      <color rgb="FFE65B1F"/>
      <color rgb="FF39E7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0</xdr:row>
          <xdr:rowOff>180975</xdr:rowOff>
        </xdr:from>
        <xdr:to>
          <xdr:col>9</xdr:col>
          <xdr:colOff>752475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79267</xdr:colOff>
      <xdr:row>7</xdr:row>
      <xdr:rowOff>66675</xdr:rowOff>
    </xdr:from>
    <xdr:to>
      <xdr:col>10</xdr:col>
      <xdr:colOff>200025</xdr:colOff>
      <xdr:row>22</xdr:row>
      <xdr:rowOff>172612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7" t="1270" r="1"/>
        <a:stretch/>
      </xdr:blipFill>
      <xdr:spPr>
        <a:xfrm>
          <a:off x="79267" y="1400175"/>
          <a:ext cx="7740758" cy="2963437"/>
        </a:xfrm>
        <a:prstGeom prst="rect">
          <a:avLst/>
        </a:prstGeom>
      </xdr:spPr>
    </xdr:pic>
    <xdr:clientData/>
  </xdr:twoCellAnchor>
  <xdr:twoCellAnchor>
    <xdr:from>
      <xdr:col>0</xdr:col>
      <xdr:colOff>66675</xdr:colOff>
      <xdr:row>0</xdr:row>
      <xdr:rowOff>57150</xdr:rowOff>
    </xdr:from>
    <xdr:to>
      <xdr:col>10</xdr:col>
      <xdr:colOff>666750</xdr:colOff>
      <xdr:row>6</xdr:row>
      <xdr:rowOff>133350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6675" y="57150"/>
          <a:ext cx="8220075" cy="1219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1"/>
            <a:t>Manual de usuario.</a:t>
          </a:r>
        </a:p>
        <a:p>
          <a:endParaRPr lang="es-MX" sz="1200" b="1"/>
        </a:p>
        <a:p>
          <a:r>
            <a:rPr lang="es-MX" sz="1200" b="1"/>
            <a:t>1.</a:t>
          </a:r>
          <a:r>
            <a:rPr lang="es-MX" sz="1200" b="1" baseline="0"/>
            <a:t> Área editable</a:t>
          </a:r>
        </a:p>
        <a:p>
          <a:r>
            <a:rPr lang="es-MX" sz="1200" b="1" baseline="0"/>
            <a:t>2. Conteo General</a:t>
          </a:r>
        </a:p>
        <a:p>
          <a:r>
            <a:rPr lang="es-MX" sz="1200" b="1" baseline="0"/>
            <a:t>3. Para agregar filas es necesario presionar el botón y que el cursor esté seleccionando una celda central de la tabla</a:t>
          </a:r>
          <a:endParaRPr lang="es-MX" sz="1200" b="1"/>
        </a:p>
      </xdr:txBody>
    </xdr:sp>
    <xdr:clientData/>
  </xdr:twoCellAnchor>
  <xdr:twoCellAnchor>
    <xdr:from>
      <xdr:col>0</xdr:col>
      <xdr:colOff>0</xdr:colOff>
      <xdr:row>21</xdr:row>
      <xdr:rowOff>171450</xdr:rowOff>
    </xdr:from>
    <xdr:to>
      <xdr:col>10</xdr:col>
      <xdr:colOff>742950</xdr:colOff>
      <xdr:row>23</xdr:row>
      <xdr:rowOff>171450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0" y="4171950"/>
          <a:ext cx="8362950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rgbClr val="FF0000"/>
              </a:solidFill>
            </a:rPr>
            <a:t>Nota:</a:t>
          </a:r>
          <a:r>
            <a:rPr lang="es-MX" sz="1200" b="1" baseline="0">
              <a:solidFill>
                <a:srgbClr val="FF0000"/>
              </a:solidFill>
            </a:rPr>
            <a:t> Este documento esta protegido, cualquier cambio no autorizado conllevara a un mal funcionamiento del mismo.</a:t>
          </a:r>
          <a:endParaRPr lang="es-MX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28575</xdr:colOff>
      <xdr:row>7</xdr:row>
      <xdr:rowOff>38100</xdr:rowOff>
    </xdr:from>
    <xdr:to>
      <xdr:col>5</xdr:col>
      <xdr:colOff>419100</xdr:colOff>
      <xdr:row>21</xdr:row>
      <xdr:rowOff>85725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8575" y="1371600"/>
          <a:ext cx="4200525" cy="271462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238125</xdr:colOff>
      <xdr:row>5</xdr:row>
      <xdr:rowOff>161925</xdr:rowOff>
    </xdr:from>
    <xdr:to>
      <xdr:col>5</xdr:col>
      <xdr:colOff>485775</xdr:colOff>
      <xdr:row>7</xdr:row>
      <xdr:rowOff>28575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048125" y="1114425"/>
          <a:ext cx="247650" cy="24765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rgbClr val="FF0000"/>
              </a:solidFill>
            </a:rPr>
            <a:t>1</a:t>
          </a:r>
        </a:p>
      </xdr:txBody>
    </xdr:sp>
    <xdr:clientData/>
  </xdr:twoCellAnchor>
  <xdr:twoCellAnchor>
    <xdr:from>
      <xdr:col>6</xdr:col>
      <xdr:colOff>209550</xdr:colOff>
      <xdr:row>10</xdr:row>
      <xdr:rowOff>95250</xdr:rowOff>
    </xdr:from>
    <xdr:to>
      <xdr:col>10</xdr:col>
      <xdr:colOff>200025</xdr:colOff>
      <xdr:row>13</xdr:row>
      <xdr:rowOff>123825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81550" y="2000250"/>
          <a:ext cx="3038475" cy="6000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66675</xdr:colOff>
      <xdr:row>13</xdr:row>
      <xdr:rowOff>123825</xdr:rowOff>
    </xdr:from>
    <xdr:to>
      <xdr:col>6</xdr:col>
      <xdr:colOff>314325</xdr:colOff>
      <xdr:row>14</xdr:row>
      <xdr:rowOff>180975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638675" y="2600325"/>
          <a:ext cx="247650" cy="24765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6</xdr:col>
      <xdr:colOff>209550</xdr:colOff>
      <xdr:row>7</xdr:row>
      <xdr:rowOff>142875</xdr:rowOff>
    </xdr:from>
    <xdr:to>
      <xdr:col>7</xdr:col>
      <xdr:colOff>676275</xdr:colOff>
      <xdr:row>9</xdr:row>
      <xdr:rowOff>95250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781550" y="1476375"/>
          <a:ext cx="1228725" cy="3333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542925</xdr:colOff>
      <xdr:row>6</xdr:row>
      <xdr:rowOff>76200</xdr:rowOff>
    </xdr:from>
    <xdr:to>
      <xdr:col>8</xdr:col>
      <xdr:colOff>28575</xdr:colOff>
      <xdr:row>7</xdr:row>
      <xdr:rowOff>133350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76925" y="1219200"/>
          <a:ext cx="247650" cy="24765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rgbClr val="FF0000"/>
              </a:solidFill>
            </a:rPr>
            <a:t>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crap" displayName="scrap" ref="A3:G20" totalsRowShown="0" headerRowDxfId="27" headerRowBorderDxfId="26" tableBorderDxfId="25" totalsRowBorderDxfId="24">
  <autoFilter ref="A3:G20" xr:uid="{00000000-0009-0000-0100-000002000000}"/>
  <tableColumns count="7">
    <tableColumn id="13" xr3:uid="{57281975-7FC4-42B0-9CE8-BFF9F70C79CA}" name="Semana" dataDxfId="23" totalsRowDxfId="22"/>
    <tableColumn id="1" xr3:uid="{00000000-0010-0000-0000-000001000000}" name="LOTE" dataDxfId="21" totalsRowDxfId="20"/>
    <tableColumn id="2" xr3:uid="{00000000-0010-0000-0000-000002000000}" name="12:00" dataDxfId="19" totalsRowDxfId="18"/>
    <tableColumn id="3" xr3:uid="{00000000-0010-0000-0000-000003000000}" name="03:00" dataDxfId="17" totalsRowDxfId="16"/>
    <tableColumn id="4" xr3:uid="{00000000-0010-0000-0000-000004000000}" name="06:00" dataDxfId="15" totalsRowDxfId="14"/>
    <tableColumn id="5" xr3:uid="{00000000-0010-0000-0000-000005000000}" name="09:00" dataDxfId="13" totalsRowDxfId="12"/>
    <tableColumn id="6" xr3:uid="{00000000-0010-0000-0000-000006000000}" name="Total" dataDxfId="11" totalsRowDxfId="10">
      <calculatedColumnFormula>SUM(C4,D4,E4,F4)</calculatedColumnFormula>
    </tableColumn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DECD6D-3FD9-439E-B4FC-F421F23EC0E9}" name="Tabla1" displayName="Tabla1" ref="I7:M8" totalsRowShown="0" headerRowDxfId="9" dataDxfId="7" headerRowBorderDxfId="8" tableBorderDxfId="6" totalsRowBorderDxfId="5">
  <autoFilter ref="I7:M8" xr:uid="{59DECD6D-3FD9-439E-B4FC-F421F23EC0E9}"/>
  <tableColumns count="5">
    <tableColumn id="1" xr3:uid="{366C324D-1FC0-4E0F-A897-0011A2A2D056}" name="12:00" dataDxfId="4">
      <calculatedColumnFormula>SUM(scrap[12:00])</calculatedColumnFormula>
    </tableColumn>
    <tableColumn id="2" xr3:uid="{A301055C-37E2-4CDC-82CB-D5C740A0065C}" name="03:00" dataDxfId="3">
      <calculatedColumnFormula>SUM(scrap[03:00])</calculatedColumnFormula>
    </tableColumn>
    <tableColumn id="3" xr3:uid="{559A7E80-2219-405D-8C3F-21EBD547839B}" name="06:00" dataDxfId="2">
      <calculatedColumnFormula>SUM(scrap[06:00])</calculatedColumnFormula>
    </tableColumn>
    <tableColumn id="4" xr3:uid="{2CED47B6-9DAA-4FEB-B598-D20E0E3F18E9}" name="09:00" dataDxfId="1">
      <calculatedColumnFormula>SUM(scrap[09:00])</calculatedColumnFormula>
    </tableColumn>
    <tableColumn id="5" xr3:uid="{B697EC3E-74AF-458C-BBFB-88689D06E723}" name="Total" dataDxfId="0">
      <calculatedColumnFormula>SUM(scrap[Total])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0"/>
  <sheetViews>
    <sheetView tabSelected="1" zoomScale="95" workbookViewId="0">
      <selection activeCell="F5" sqref="F5"/>
    </sheetView>
  </sheetViews>
  <sheetFormatPr baseColWidth="10" defaultRowHeight="15" x14ac:dyDescent="0.25"/>
  <cols>
    <col min="1" max="1" width="11.42578125" customWidth="1"/>
    <col min="2" max="2" width="10.5703125" customWidth="1"/>
    <col min="9" max="9" width="11.85546875" bestFit="1" customWidth="1"/>
  </cols>
  <sheetData>
    <row r="1" spans="1:13" x14ac:dyDescent="0.25">
      <c r="A1" s="23" t="s">
        <v>5</v>
      </c>
      <c r="B1" s="23"/>
      <c r="C1" s="23"/>
      <c r="D1" s="23"/>
      <c r="E1" s="23"/>
      <c r="F1" s="23"/>
      <c r="G1" s="23"/>
    </row>
    <row r="2" spans="1:13" x14ac:dyDescent="0.25">
      <c r="A2" s="23"/>
      <c r="B2" s="23"/>
      <c r="C2" s="23"/>
      <c r="D2" s="23"/>
      <c r="E2" s="23"/>
      <c r="F2" s="23"/>
      <c r="G2" s="23"/>
    </row>
    <row r="3" spans="1:13" x14ac:dyDescent="0.25">
      <c r="A3" s="1" t="s">
        <v>6</v>
      </c>
      <c r="B3" s="3" t="s">
        <v>7</v>
      </c>
      <c r="C3" s="5" t="s">
        <v>1</v>
      </c>
      <c r="D3" s="7" t="s">
        <v>2</v>
      </c>
      <c r="E3" s="9" t="s">
        <v>3</v>
      </c>
      <c r="F3" s="11" t="s">
        <v>4</v>
      </c>
      <c r="G3" s="13" t="s">
        <v>0</v>
      </c>
    </row>
    <row r="4" spans="1:13" x14ac:dyDescent="0.25">
      <c r="A4" s="2"/>
      <c r="B4" s="4"/>
      <c r="C4" s="6"/>
      <c r="D4" s="8"/>
      <c r="E4" s="10"/>
      <c r="F4" s="12"/>
      <c r="G4" s="14">
        <f t="shared" ref="G4:G20" si="0">SUM(C4,D4,E4,F4)</f>
        <v>0</v>
      </c>
    </row>
    <row r="5" spans="1:13" x14ac:dyDescent="0.25">
      <c r="A5" s="2"/>
      <c r="B5" s="4"/>
      <c r="C5" s="6"/>
      <c r="D5" s="8"/>
      <c r="E5" s="10"/>
      <c r="F5" s="12"/>
      <c r="G5" s="14">
        <f t="shared" si="0"/>
        <v>0</v>
      </c>
      <c r="I5" s="23" t="s">
        <v>8</v>
      </c>
      <c r="J5" s="24"/>
      <c r="K5" s="24"/>
      <c r="L5" s="24"/>
      <c r="M5" s="24"/>
    </row>
    <row r="6" spans="1:13" x14ac:dyDescent="0.25">
      <c r="A6" s="2"/>
      <c r="B6" s="22"/>
      <c r="C6" s="6"/>
      <c r="D6" s="8"/>
      <c r="E6" s="10"/>
      <c r="F6" s="12"/>
      <c r="G6" s="14">
        <f t="shared" si="0"/>
        <v>0</v>
      </c>
      <c r="I6" s="24"/>
      <c r="J6" s="24"/>
      <c r="K6" s="24"/>
      <c r="L6" s="24"/>
      <c r="M6" s="24"/>
    </row>
    <row r="7" spans="1:13" x14ac:dyDescent="0.25">
      <c r="A7" s="2"/>
      <c r="B7" s="4"/>
      <c r="C7" s="6"/>
      <c r="D7" s="8"/>
      <c r="E7" s="10"/>
      <c r="F7" s="12"/>
      <c r="G7" s="14">
        <f t="shared" si="0"/>
        <v>0</v>
      </c>
      <c r="I7" s="16" t="s">
        <v>1</v>
      </c>
      <c r="J7" s="17" t="s">
        <v>2</v>
      </c>
      <c r="K7" s="17" t="s">
        <v>3</v>
      </c>
      <c r="L7" s="17" t="s">
        <v>4</v>
      </c>
      <c r="M7" s="18" t="s">
        <v>0</v>
      </c>
    </row>
    <row r="8" spans="1:13" x14ac:dyDescent="0.25">
      <c r="A8" s="2"/>
      <c r="B8" s="4"/>
      <c r="C8" s="6"/>
      <c r="D8" s="8"/>
      <c r="E8" s="10"/>
      <c r="F8" s="12"/>
      <c r="G8" s="14">
        <f t="shared" si="0"/>
        <v>0</v>
      </c>
      <c r="I8" s="19">
        <f>SUM(scrap[12:00])</f>
        <v>0</v>
      </c>
      <c r="J8" s="20">
        <f>SUM(scrap[03:00])</f>
        <v>0</v>
      </c>
      <c r="K8" s="20">
        <f>SUM(scrap[06:00])</f>
        <v>0</v>
      </c>
      <c r="L8" s="20">
        <f>SUM(scrap[09:00])</f>
        <v>0</v>
      </c>
      <c r="M8" s="21">
        <f>SUM(scrap[Total])</f>
        <v>0</v>
      </c>
    </row>
    <row r="9" spans="1:13" x14ac:dyDescent="0.25">
      <c r="A9" s="2"/>
      <c r="B9" s="4"/>
      <c r="C9" s="6"/>
      <c r="D9" s="8"/>
      <c r="E9" s="10"/>
      <c r="F9" s="12"/>
      <c r="G9" s="14">
        <f t="shared" si="0"/>
        <v>0</v>
      </c>
    </row>
    <row r="10" spans="1:13" x14ac:dyDescent="0.25">
      <c r="A10" s="2"/>
      <c r="B10" s="4"/>
      <c r="C10" s="6"/>
      <c r="D10" s="8"/>
      <c r="E10" s="10"/>
      <c r="F10" s="12"/>
      <c r="G10" s="14">
        <f t="shared" si="0"/>
        <v>0</v>
      </c>
    </row>
    <row r="11" spans="1:13" x14ac:dyDescent="0.25">
      <c r="A11" s="2"/>
      <c r="B11" s="4"/>
      <c r="C11" s="6"/>
      <c r="D11" s="8"/>
      <c r="E11" s="10"/>
      <c r="F11" s="15"/>
      <c r="G11" s="14">
        <f t="shared" si="0"/>
        <v>0</v>
      </c>
    </row>
    <row r="12" spans="1:13" x14ac:dyDescent="0.25">
      <c r="A12" s="2"/>
      <c r="B12" s="4"/>
      <c r="C12" s="6"/>
      <c r="D12" s="8"/>
      <c r="E12" s="10"/>
      <c r="F12" s="15"/>
      <c r="G12" s="14">
        <f t="shared" si="0"/>
        <v>0</v>
      </c>
    </row>
    <row r="13" spans="1:13" x14ac:dyDescent="0.25">
      <c r="A13" s="2"/>
      <c r="B13" s="4"/>
      <c r="C13" s="6"/>
      <c r="D13" s="8"/>
      <c r="E13" s="10"/>
      <c r="F13" s="15"/>
      <c r="G13" s="14">
        <f t="shared" si="0"/>
        <v>0</v>
      </c>
    </row>
    <row r="14" spans="1:13" x14ac:dyDescent="0.25">
      <c r="A14" s="2"/>
      <c r="B14" s="4"/>
      <c r="C14" s="6"/>
      <c r="D14" s="8"/>
      <c r="E14" s="10"/>
      <c r="F14" s="15"/>
      <c r="G14" s="14">
        <f t="shared" si="0"/>
        <v>0</v>
      </c>
    </row>
    <row r="15" spans="1:13" x14ac:dyDescent="0.25">
      <c r="A15" s="2"/>
      <c r="B15" s="4"/>
      <c r="C15" s="6"/>
      <c r="D15" s="8"/>
      <c r="E15" s="10"/>
      <c r="F15" s="15"/>
      <c r="G15" s="14">
        <f t="shared" si="0"/>
        <v>0</v>
      </c>
    </row>
    <row r="16" spans="1:13" x14ac:dyDescent="0.25">
      <c r="A16" s="2"/>
      <c r="B16" s="4"/>
      <c r="C16" s="6"/>
      <c r="D16" s="8"/>
      <c r="E16" s="10"/>
      <c r="F16" s="15"/>
      <c r="G16" s="14">
        <f t="shared" si="0"/>
        <v>0</v>
      </c>
    </row>
    <row r="17" spans="1:7" x14ac:dyDescent="0.25">
      <c r="A17" s="2"/>
      <c r="B17" s="4"/>
      <c r="C17" s="6"/>
      <c r="D17" s="8"/>
      <c r="E17" s="10"/>
      <c r="F17" s="15"/>
      <c r="G17" s="14">
        <f t="shared" si="0"/>
        <v>0</v>
      </c>
    </row>
    <row r="18" spans="1:7" x14ac:dyDescent="0.25">
      <c r="A18" s="2"/>
      <c r="B18" s="4"/>
      <c r="C18" s="6"/>
      <c r="D18" s="8"/>
      <c r="E18" s="10"/>
      <c r="F18" s="15"/>
      <c r="G18" s="14">
        <f t="shared" si="0"/>
        <v>0</v>
      </c>
    </row>
    <row r="19" spans="1:7" x14ac:dyDescent="0.25">
      <c r="A19" s="2"/>
      <c r="B19" s="4"/>
      <c r="C19" s="6"/>
      <c r="D19" s="8"/>
      <c r="E19" s="10"/>
      <c r="F19" s="15"/>
      <c r="G19" s="14">
        <f t="shared" si="0"/>
        <v>0</v>
      </c>
    </row>
    <row r="20" spans="1:7" x14ac:dyDescent="0.25">
      <c r="A20" s="2"/>
      <c r="B20" s="4"/>
      <c r="C20" s="6"/>
      <c r="D20" s="8"/>
      <c r="E20" s="10"/>
      <c r="F20" s="15"/>
      <c r="G20" s="14">
        <f t="shared" si="0"/>
        <v>0</v>
      </c>
    </row>
  </sheetData>
  <sheetProtection algorithmName="SHA-512" hashValue="bTJn64mvpnsHmzm2zZlRmSZrI23KXfxuvjaKQ2ml5FX1c4e8ME7qf0ulTK4++qfrA+Ro2HxteTAURYk46ac0xQ==" saltValue="39WsxOeVijU3pa9sWyMXgw==" spinCount="100000" sheet="1" formatCells="0" formatColumns="0" formatRows="0" insertColumns="0" insertRows="0" insertHyperlinks="0" deleteColumns="0" deleteRows="0" sort="0" autoFilter="0" pivotTables="0"/>
  <protectedRanges>
    <protectedRange sqref="A4:F192" name="datos"/>
  </protectedRanges>
  <mergeCells count="2">
    <mergeCell ref="A1:G2"/>
    <mergeCell ref="I5:M6"/>
  </mergeCells>
  <phoneticPr fontId="1" type="noConversion"/>
  <conditionalFormatting sqref="A4:G20">
    <cfRule type="containsBlanks" dxfId="32" priority="4">
      <formula>LEN(TRIM(A4))=0</formula>
    </cfRule>
  </conditionalFormatting>
  <conditionalFormatting sqref="G4:G20">
    <cfRule type="cellIs" dxfId="31" priority="3" operator="greaterThan">
      <formula>400</formula>
    </cfRule>
    <cfRule type="cellIs" dxfId="30" priority="2" operator="lessThan">
      <formula>500</formula>
    </cfRule>
    <cfRule type="cellIs" dxfId="29" priority="1" operator="lessThan">
      <formula>250</formula>
    </cfRule>
  </conditionalFormatting>
  <conditionalFormatting sqref="A4:B20">
    <cfRule type="duplicateValues" dxfId="28" priority="7"/>
  </conditionalFormatting>
  <dataValidations count="3">
    <dataValidation type="decimal" operator="greaterThan" allowBlank="1" showInputMessage="1" showErrorMessage="1" errorTitle="Datos no validos" error="El número de lote debe ser mayor a cuatro dígitos." sqref="B4:B20" xr:uid="{08780E18-41F3-4373-9961-1838B2319395}">
      <formula1>999</formula1>
    </dataValidation>
    <dataValidation type="whole" operator="lessThanOrEqual" allowBlank="1" showInputMessage="1" showErrorMessage="1" errorTitle="Semana no valida." error="El número maximo es 52." sqref="A4:A20" xr:uid="{0E03B6E4-023D-4849-A905-765050F877DC}">
      <formula1>52</formula1>
    </dataValidation>
    <dataValidation type="whole" operator="greaterThan" allowBlank="1" showInputMessage="1" showErrorMessage="1" errorTitle="Datos no validos." error="Este campo solo acepta números positivos." sqref="C4:F20" xr:uid="{5B3CA3FB-50F6-43E3-BBC6-C804FEA0C2B4}">
      <formula1>-1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">
                <anchor moveWithCells="1" sizeWithCells="1">
                  <from>
                    <xdr:col>7</xdr:col>
                    <xdr:colOff>752475</xdr:colOff>
                    <xdr:row>0</xdr:row>
                    <xdr:rowOff>180975</xdr:rowOff>
                  </from>
                  <to>
                    <xdr:col>9</xdr:col>
                    <xdr:colOff>752475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6BF-936B-4AB8-BC4A-C67C0A44A3FF}">
  <sheetPr codeName="Hoja2"/>
  <dimension ref="A1:K24"/>
  <sheetViews>
    <sheetView topLeftCell="A15" zoomScaleNormal="100" workbookViewId="0">
      <selection activeCell="E25" sqref="E25"/>
    </sheetView>
  </sheetViews>
  <sheetFormatPr baseColWidth="10" defaultRowHeight="15" x14ac:dyDescent="0.25"/>
  <sheetData>
    <row r="1" spans="1:1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</row>
    <row r="8" spans="1:1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</row>
    <row r="9" spans="1:1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</row>
    <row r="10" spans="1:1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</row>
    <row r="11" spans="1:1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</row>
    <row r="12" spans="1:1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</row>
    <row r="15" spans="1:1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</row>
    <row r="16" spans="1:1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</row>
    <row r="18" spans="1:1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</sheetData>
  <sheetProtection algorithmName="SHA-512" hashValue="vkLKyxqtpA3hQ4IvSdYF+jj7Q+S99PmL9shnau8xGY9eQg/aKE4Gk0CflDBkERZ+Qtkqc8dc+Wg6Otf5f/Dd+g==" saltValue="EPcoh2QiA0HRv7Kr0TWiIQ==" spinCount="100000" sheet="1" objects="1" scenarios="1"/>
  <mergeCells count="2">
    <mergeCell ref="A8:K24"/>
    <mergeCell ref="A1:K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NUM SEMANA</vt:lpstr>
      <vt:lpstr>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consola</cp:lastModifiedBy>
  <dcterms:created xsi:type="dcterms:W3CDTF">2023-01-19T19:48:11Z</dcterms:created>
  <dcterms:modified xsi:type="dcterms:W3CDTF">2023-04-11T21:33:14Z</dcterms:modified>
</cp:coreProperties>
</file>