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\htdocs\CONTROL-RENDIMIENTO-FASE2\doctos\Plantillas\"/>
    </mc:Choice>
  </mc:AlternateContent>
  <bookViews>
    <workbookView xWindow="0" yWindow="0" windowWidth="24000" windowHeight="9915"/>
  </bookViews>
  <sheets>
    <sheet name="NUM SEMANA" sheetId="1" r:id="rId1"/>
    <sheet name="Hoja1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L8" i="1" l="1"/>
  <c r="K8" i="1"/>
  <c r="J8" i="1"/>
  <c r="I8" i="1"/>
  <c r="M8" i="1" l="1"/>
</calcChain>
</file>

<file path=xl/sharedStrings.xml><?xml version="1.0" encoding="utf-8"?>
<sst xmlns="http://schemas.openxmlformats.org/spreadsheetml/2006/main" count="14" uniqueCount="9">
  <si>
    <t>Total</t>
  </si>
  <si>
    <t>12:00</t>
  </si>
  <si>
    <t>03:00</t>
  </si>
  <si>
    <t>06:00</t>
  </si>
  <si>
    <t>09:00</t>
  </si>
  <si>
    <t>Baja de Scrap en Sets</t>
  </si>
  <si>
    <t>Semana</t>
  </si>
  <si>
    <t>LOTE</t>
  </si>
  <si>
    <t>Total Global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</si>
</sst>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65B1F"/>
        <bgColor indexed="64"/>
      </patternFill>
    </fill>
    <fill>
      <patternFill patternType="solid">
        <fgColor rgb="FFE86A33"/>
        <bgColor indexed="64"/>
      </patternFill>
    </fill>
    <fill>
      <patternFill patternType="solid">
        <fgColor rgb="FFEA7846"/>
        <bgColor indexed="64"/>
      </patternFill>
    </fill>
    <fill>
      <patternFill patternType="solid">
        <fgColor rgb="FFEC8457"/>
        <bgColor indexed="64"/>
      </patternFill>
    </fill>
    <fill>
      <patternFill patternType="solid">
        <fgColor rgb="FF1F363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20" fontId="5" fillId="2" borderId="2" xfId="0" applyNumberFormat="1" applyFont="1" applyFill="1" applyBorder="1"/>
    <xf numFmtId="0" fontId="5" fillId="2" borderId="5" xfId="0" applyFont="1" applyFill="1" applyBorder="1"/>
    <xf numFmtId="0" fontId="5" fillId="3" borderId="3" xfId="0" applyFont="1" applyFill="1" applyBorder="1"/>
    <xf numFmtId="0" fontId="5" fillId="3" borderId="1" xfId="0" applyFont="1" applyFill="1" applyBorder="1"/>
    <xf numFmtId="20" fontId="5" fillId="4" borderId="3" xfId="0" applyNumberFormat="1" applyFont="1" applyFill="1" applyBorder="1"/>
    <xf numFmtId="0" fontId="5" fillId="4" borderId="1" xfId="0" applyFont="1" applyFill="1" applyBorder="1"/>
    <xf numFmtId="20" fontId="0" fillId="5" borderId="3" xfId="0" applyNumberFormat="1" applyFill="1" applyBorder="1"/>
    <xf numFmtId="0" fontId="0" fillId="5" borderId="1" xfId="0" applyFill="1" applyBorder="1"/>
    <xf numFmtId="20" fontId="0" fillId="6" borderId="3" xfId="0" applyNumberFormat="1" applyFill="1" applyBorder="1"/>
    <xf numFmtId="0" fontId="0" fillId="6" borderId="1" xfId="0" applyFill="1" applyBorder="1"/>
    <xf numFmtId="20" fontId="0" fillId="7" borderId="3" xfId="0" applyNumberFormat="1" applyFill="1" applyBorder="1"/>
    <xf numFmtId="0" fontId="0" fillId="7" borderId="1" xfId="0" applyFill="1" applyBorder="1"/>
    <xf numFmtId="0" fontId="4" fillId="8" borderId="4" xfId="0" applyFont="1" applyFill="1" applyBorder="1"/>
    <xf numFmtId="0" fontId="3" fillId="8" borderId="6" xfId="0" applyFont="1" applyFill="1" applyBorder="1"/>
    <xf numFmtId="0" fontId="0" fillId="7" borderId="6" xfId="0" applyFill="1" applyBorder="1"/>
    <xf numFmtId="20" fontId="0" fillId="0" borderId="2" xfId="0" applyNumberFormat="1" applyBorder="1" applyAlignment="1">
      <alignment horizontal="center" vertical="center" wrapText="1"/>
    </xf>
    <xf numFmtId="20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7" fillId="3" borderId="1" xfId="0" applyFont="1" applyFill="1" applyBorder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33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F363D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rgb="FF1F363D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C8457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EC8457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A784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A784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86A3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86A3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65B1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65B1F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DDDDD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DDDDDD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EEEEE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EEEEE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25" formatCode="hh:mm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8E052"/>
        </patternFill>
      </fill>
    </dxf>
    <dxf>
      <fill>
        <patternFill>
          <bgColor rgb="FFFF0000"/>
        </patternFill>
      </fill>
    </dxf>
    <dxf>
      <fill>
        <patternFill>
          <bgColor rgb="FFFA9C12"/>
        </patternFill>
      </fill>
    </dxf>
    <dxf>
      <fill>
        <patternFill>
          <bgColor rgb="FF39E767"/>
        </patternFill>
      </fill>
    </dxf>
    <dxf>
      <fill>
        <patternFill>
          <bgColor rgb="FFFF8C32"/>
        </patternFill>
      </fill>
    </dxf>
  </dxfs>
  <tableStyles count="1" defaultTableStyle="TableStyleMedium2" defaultPivotStyle="PivotStyleLight16">
    <tableStyle name="Estilo de tabla 1" pivot="0" count="2">
      <tableStyleElement type="wholeTable" dxfId="32"/>
      <tableStyleElement type="firstColumnStripe" dxfId="31"/>
    </tableStyle>
  </tableStyles>
  <colors>
    <mruColors>
      <color rgb="FFFF0000"/>
      <color rgb="FFFA9C12"/>
      <color rgb="FFF8E052"/>
      <color rgb="FF1F363D"/>
      <color rgb="FFEC8457"/>
      <color rgb="FFEA7846"/>
      <color rgb="FFE86A33"/>
      <color rgb="FFE65B1F"/>
      <color rgb="FF39E767"/>
      <color rgb="FFFF8C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0</xdr:row>
          <xdr:rowOff>180975</xdr:rowOff>
        </xdr:from>
        <xdr:to>
          <xdr:col>9</xdr:col>
          <xdr:colOff>752475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scrap" displayName="scrap" ref="A3:G18" totalsRowShown="0" headerRowDxfId="27" headerRowBorderDxfId="26" tableBorderDxfId="25" totalsRowBorderDxfId="24">
  <autoFilter ref="A3:G18"/>
  <tableColumns count="7">
    <tableColumn id="13" name="Semana" dataDxfId="23" totalsRowDxfId="22"/>
    <tableColumn id="1" name="LOTE" dataDxfId="21" totalsRowDxfId="20"/>
    <tableColumn id="2" name="12:00" dataDxfId="19" totalsRowDxfId="18"/>
    <tableColumn id="3" name="03:00" dataDxfId="17" totalsRowDxfId="16"/>
    <tableColumn id="4" name="06:00" dataDxfId="15" totalsRowDxfId="14"/>
    <tableColumn id="5" name="09:00" dataDxfId="13" totalsRowDxfId="12"/>
    <tableColumn id="6" name="Total" dataDxfId="11" totalsRowDxfId="10">
      <calculatedColumnFormula>C4+D4+E4+F4</calculatedColumnFormula>
    </tableColumn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I7:M8" totalsRowShown="0" headerRowDxfId="9" dataDxfId="7" headerRowBorderDxfId="8" tableBorderDxfId="6" totalsRowBorderDxfId="5">
  <autoFilter ref="I7:M8"/>
  <tableColumns count="5">
    <tableColumn id="1" name="12:00" dataDxfId="4">
      <calculatedColumnFormula>SUM(scrap[12:00])</calculatedColumnFormula>
    </tableColumn>
    <tableColumn id="2" name="03:00" dataDxfId="3">
      <calculatedColumnFormula>SUM(scrap[03:00])</calculatedColumnFormula>
    </tableColumn>
    <tableColumn id="3" name="06:00" dataDxfId="2">
      <calculatedColumnFormula>SUM(scrap[06:00])</calculatedColumnFormula>
    </tableColumn>
    <tableColumn id="4" name="09:00" dataDxfId="1">
      <calculatedColumnFormula>SUM(scrap[09:00])</calculatedColumnFormula>
    </tableColumn>
    <tableColumn id="5" name="Total" dataDxfId="0">
      <calculatedColumnFormula>SUM(scrap[Total])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18"/>
  <sheetViews>
    <sheetView tabSelected="1" zoomScale="95" workbookViewId="0">
      <selection activeCell="A4" sqref="A4:F4"/>
    </sheetView>
  </sheetViews>
  <sheetFormatPr baseColWidth="10" defaultRowHeight="15" x14ac:dyDescent="0.25"/>
  <cols>
    <col min="1" max="1" width="11.42578125" customWidth="1"/>
    <col min="2" max="2" width="10.5703125" customWidth="1"/>
  </cols>
  <sheetData>
    <row r="1" spans="1:13" x14ac:dyDescent="0.25">
      <c r="A1" s="23" t="s">
        <v>5</v>
      </c>
      <c r="B1" s="23"/>
      <c r="C1" s="23"/>
      <c r="D1" s="23"/>
      <c r="E1" s="23"/>
      <c r="F1" s="23"/>
      <c r="G1" s="23"/>
    </row>
    <row r="2" spans="1:13" x14ac:dyDescent="0.25">
      <c r="A2" s="23"/>
      <c r="B2" s="23"/>
      <c r="C2" s="23"/>
      <c r="D2" s="23"/>
      <c r="E2" s="23"/>
      <c r="F2" s="23"/>
      <c r="G2" s="23"/>
    </row>
    <row r="3" spans="1:13" x14ac:dyDescent="0.25">
      <c r="A3" s="1" t="s">
        <v>6</v>
      </c>
      <c r="B3" s="3" t="s">
        <v>7</v>
      </c>
      <c r="C3" s="5" t="s">
        <v>1</v>
      </c>
      <c r="D3" s="7" t="s">
        <v>2</v>
      </c>
      <c r="E3" s="9" t="s">
        <v>3</v>
      </c>
      <c r="F3" s="11" t="s">
        <v>4</v>
      </c>
      <c r="G3" s="13" t="s">
        <v>0</v>
      </c>
    </row>
    <row r="4" spans="1:13" x14ac:dyDescent="0.25">
      <c r="A4" s="2"/>
      <c r="B4" s="4"/>
      <c r="C4" s="6"/>
      <c r="D4" s="8"/>
      <c r="E4" s="10"/>
      <c r="F4" s="12"/>
      <c r="G4" s="14">
        <f t="shared" ref="G4:G18" si="0">C4+D4+E4+F4</f>
        <v>0</v>
      </c>
    </row>
    <row r="5" spans="1:13" x14ac:dyDescent="0.25">
      <c r="A5" s="2"/>
      <c r="B5" s="4"/>
      <c r="C5" s="6"/>
      <c r="D5" s="8"/>
      <c r="E5" s="10"/>
      <c r="F5" s="12"/>
      <c r="G5" s="14">
        <f t="shared" si="0"/>
        <v>0</v>
      </c>
      <c r="I5" s="23" t="s">
        <v>8</v>
      </c>
      <c r="J5" s="24"/>
      <c r="K5" s="24"/>
      <c r="L5" s="24"/>
      <c r="M5" s="24"/>
    </row>
    <row r="6" spans="1:13" x14ac:dyDescent="0.25">
      <c r="A6" s="2"/>
      <c r="B6" s="22"/>
      <c r="C6" s="6"/>
      <c r="D6" s="8"/>
      <c r="E6" s="10"/>
      <c r="F6" s="12"/>
      <c r="G6" s="14">
        <f t="shared" si="0"/>
        <v>0</v>
      </c>
      <c r="I6" s="24"/>
      <c r="J6" s="24"/>
      <c r="K6" s="24"/>
      <c r="L6" s="24"/>
      <c r="M6" s="24"/>
    </row>
    <row r="7" spans="1:13" x14ac:dyDescent="0.25">
      <c r="A7" s="2"/>
      <c r="B7" s="4"/>
      <c r="C7" s="6"/>
      <c r="D7" s="8"/>
      <c r="E7" s="10"/>
      <c r="F7" s="12"/>
      <c r="G7" s="14">
        <f t="shared" si="0"/>
        <v>0</v>
      </c>
      <c r="I7" s="16" t="s">
        <v>1</v>
      </c>
      <c r="J7" s="17" t="s">
        <v>2</v>
      </c>
      <c r="K7" s="17" t="s">
        <v>3</v>
      </c>
      <c r="L7" s="17" t="s">
        <v>4</v>
      </c>
      <c r="M7" s="18" t="s">
        <v>0</v>
      </c>
    </row>
    <row r="8" spans="1:13" x14ac:dyDescent="0.25">
      <c r="A8" s="2"/>
      <c r="B8" s="4"/>
      <c r="C8" s="6"/>
      <c r="D8" s="8"/>
      <c r="E8" s="10"/>
      <c r="F8" s="12"/>
      <c r="G8" s="14">
        <f t="shared" si="0"/>
        <v>0</v>
      </c>
      <c r="I8" s="19">
        <f>SUM(scrap[12:00])</f>
        <v>0</v>
      </c>
      <c r="J8" s="20">
        <f>SUM(scrap[03:00])</f>
        <v>0</v>
      </c>
      <c r="K8" s="20">
        <f>SUM(scrap[06:00])</f>
        <v>0</v>
      </c>
      <c r="L8" s="20">
        <f>SUM(scrap[09:00])</f>
        <v>0</v>
      </c>
      <c r="M8" s="21">
        <f>SUM(scrap[Total])</f>
        <v>0</v>
      </c>
    </row>
    <row r="9" spans="1:13" x14ac:dyDescent="0.25">
      <c r="A9" s="2"/>
      <c r="B9" s="4"/>
      <c r="C9" s="6"/>
      <c r="D9" s="8"/>
      <c r="E9" s="10"/>
      <c r="F9" s="12"/>
      <c r="G9" s="14">
        <f t="shared" si="0"/>
        <v>0</v>
      </c>
    </row>
    <row r="10" spans="1:13" x14ac:dyDescent="0.25">
      <c r="A10" s="2"/>
      <c r="B10" s="4"/>
      <c r="C10" s="6"/>
      <c r="D10" s="8"/>
      <c r="E10" s="10"/>
      <c r="F10" s="12"/>
      <c r="G10" s="14">
        <f t="shared" si="0"/>
        <v>0</v>
      </c>
    </row>
    <row r="11" spans="1:13" x14ac:dyDescent="0.25">
      <c r="A11" s="2"/>
      <c r="B11" s="4"/>
      <c r="C11" s="6"/>
      <c r="D11" s="8"/>
      <c r="E11" s="10"/>
      <c r="F11" s="15"/>
      <c r="G11" s="14">
        <f t="shared" si="0"/>
        <v>0</v>
      </c>
    </row>
    <row r="12" spans="1:13" x14ac:dyDescent="0.25">
      <c r="A12" s="2"/>
      <c r="B12" s="4"/>
      <c r="C12" s="6"/>
      <c r="D12" s="8"/>
      <c r="E12" s="10"/>
      <c r="F12" s="15"/>
      <c r="G12" s="14">
        <f t="shared" si="0"/>
        <v>0</v>
      </c>
    </row>
    <row r="13" spans="1:13" x14ac:dyDescent="0.25">
      <c r="A13" s="2"/>
      <c r="B13" s="4"/>
      <c r="C13" s="6"/>
      <c r="D13" s="8"/>
      <c r="E13" s="10"/>
      <c r="F13" s="15"/>
      <c r="G13" s="14">
        <f t="shared" si="0"/>
        <v>0</v>
      </c>
    </row>
    <row r="14" spans="1:13" x14ac:dyDescent="0.25">
      <c r="A14" s="2"/>
      <c r="B14" s="4"/>
      <c r="C14" s="6"/>
      <c r="D14" s="8"/>
      <c r="E14" s="10"/>
      <c r="F14" s="15"/>
      <c r="G14" s="14">
        <f t="shared" si="0"/>
        <v>0</v>
      </c>
    </row>
    <row r="15" spans="1:13" x14ac:dyDescent="0.25">
      <c r="A15" s="2"/>
      <c r="B15" s="4"/>
      <c r="C15" s="6"/>
      <c r="D15" s="8"/>
      <c r="E15" s="10"/>
      <c r="F15" s="15"/>
      <c r="G15" s="14">
        <f t="shared" si="0"/>
        <v>0</v>
      </c>
    </row>
    <row r="16" spans="1:13" x14ac:dyDescent="0.25">
      <c r="A16" s="2"/>
      <c r="B16" s="4"/>
      <c r="C16" s="6"/>
      <c r="D16" s="8"/>
      <c r="E16" s="10"/>
      <c r="F16" s="15"/>
      <c r="G16" s="14">
        <f t="shared" si="0"/>
        <v>0</v>
      </c>
    </row>
    <row r="17" spans="1:7" x14ac:dyDescent="0.25">
      <c r="A17" s="2"/>
      <c r="B17" s="4"/>
      <c r="C17" s="6"/>
      <c r="D17" s="8"/>
      <c r="E17" s="10"/>
      <c r="F17" s="15"/>
      <c r="G17" s="14">
        <f t="shared" si="0"/>
        <v>0</v>
      </c>
    </row>
    <row r="18" spans="1:7" x14ac:dyDescent="0.25">
      <c r="A18" s="2"/>
      <c r="B18" s="4"/>
      <c r="C18" s="6"/>
      <c r="D18" s="8"/>
      <c r="E18" s="10"/>
      <c r="F18" s="15"/>
      <c r="G18" s="14">
        <f t="shared" si="0"/>
        <v>0</v>
      </c>
    </row>
  </sheetData>
  <sheetProtection algorithmName="SHA-512" hashValue="H274uGKpcTOY7n3b8nbXa6cIIZ+bL1AwugQ0GYf644a/hNwpJionrEd5qCmg61SOJddRhqIg86pZVWFclEdGGw==" saltValue="lRmjC2xpjtM6VPaGiYaolg==" spinCount="100000" sheet="1" formatCells="0" formatColumns="0" formatRows="0" insertColumns="0" insertRows="0" insertHyperlinks="0" deleteColumns="0" deleteRows="0" sort="0" autoFilter="0" pivotTables="0"/>
  <protectedRanges>
    <protectedRange sqref="A4:F192" name="datos"/>
  </protectedRanges>
  <mergeCells count="2">
    <mergeCell ref="A1:G2"/>
    <mergeCell ref="I5:M6"/>
  </mergeCells>
  <phoneticPr fontId="1" type="noConversion"/>
  <conditionalFormatting sqref="A4:G18">
    <cfRule type="containsBlanks" dxfId="30" priority="2">
      <formula>LEN(TRIM(A4))=0</formula>
    </cfRule>
  </conditionalFormatting>
  <conditionalFormatting sqref="G4:G18">
    <cfRule type="cellIs" dxfId="29" priority="1" operator="greaterThan">
      <formula>400</formula>
    </cfRule>
  </conditionalFormatting>
  <conditionalFormatting sqref="A4:B18">
    <cfRule type="duplicateValues" dxfId="28" priority="5"/>
  </conditionalFormatting>
  <dataValidations count="3">
    <dataValidation type="whole" operator="greaterThan" allowBlank="1" showInputMessage="1" showErrorMessage="1" errorTitle="Datos no validos" error="El número de lote debe ser mayor a cuatro dígitos." sqref="B4:B18">
      <formula1>999</formula1>
    </dataValidation>
    <dataValidation type="whole" operator="lessThanOrEqual" allowBlank="1" showInputMessage="1" showErrorMessage="1" errorTitle="Semana no valida." error="El número maximo es 52." sqref="A4:A18">
      <formula1>52</formula1>
    </dataValidation>
    <dataValidation type="whole" operator="greaterThan" allowBlank="1" showInputMessage="1" showErrorMessage="1" errorTitle="Datos no validos." error="Este campo solo acepta números positivos." sqref="C4:F18">
      <formula1>-1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">
                <anchor moveWithCells="1" sizeWithCells="1">
                  <from>
                    <xdr:col>7</xdr:col>
                    <xdr:colOff>752475</xdr:colOff>
                    <xdr:row>0</xdr:row>
                    <xdr:rowOff>180975</xdr:rowOff>
                  </from>
                  <to>
                    <xdr:col>9</xdr:col>
                    <xdr:colOff>752475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NUM SEMANA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Almacen</cp:lastModifiedBy>
  <dcterms:created xsi:type="dcterms:W3CDTF">2023-01-19T19:48:11Z</dcterms:created>
  <dcterms:modified xsi:type="dcterms:W3CDTF">2023-02-14T20:01:29Z</dcterms:modified>
</cp:coreProperties>
</file>